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d.docs.live.net/b5ce9302264b7575/Documents/Side Hustle/"/>
    </mc:Choice>
  </mc:AlternateContent>
  <xr:revisionPtr revIDLastSave="32" documentId="11_3AF8D2CDF7F4D599892A877344C90093696BBBEE" xr6:coauthVersionLast="47" xr6:coauthVersionMax="47" xr10:uidLastSave="{F53DCE33-1493-49B6-A0D2-3B5E58E69441}"/>
  <bookViews>
    <workbookView xWindow="-120" yWindow="-120" windowWidth="29040" windowHeight="15720" xr2:uid="{00000000-000D-0000-FFFF-FFFF00000000}"/>
  </bookViews>
  <sheets>
    <sheet name="Invoice 002" sheetId="1" r:id="rId1"/>
  </sheets>
  <definedNames>
    <definedName name="_xlnm.Print_Area" localSheetId="0">'Invoice 002'!$A$1:$D$67</definedName>
    <definedName name="_xlnm.Print_Titles" localSheetId="0">'Invoice 002'!$12:$12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8" i="1" l="1"/>
  <c r="D52" i="1"/>
  <c r="D51" i="1"/>
  <c r="D50" i="1"/>
  <c r="D49" i="1"/>
  <c r="D47" i="1"/>
  <c r="D46" i="1"/>
  <c r="D45" i="1"/>
  <c r="D44" i="1"/>
  <c r="D43" i="1"/>
  <c r="K1" i="1"/>
  <c r="D20" i="1"/>
  <c r="D19" i="1"/>
  <c r="D18" i="1"/>
  <c r="D17" i="1"/>
  <c r="D16" i="1"/>
  <c r="D15" i="1"/>
  <c r="D31" i="1"/>
  <c r="D30" i="1"/>
  <c r="D29" i="1"/>
  <c r="D28" i="1"/>
  <c r="D27" i="1"/>
  <c r="D26" i="1"/>
  <c r="D25" i="1"/>
  <c r="D24" i="1"/>
  <c r="D23" i="1"/>
  <c r="D22" i="1"/>
  <c r="D21" i="1"/>
  <c r="D14" i="1"/>
  <c r="D37" i="1"/>
  <c r="D36" i="1"/>
  <c r="D35" i="1"/>
  <c r="D34" i="1"/>
  <c r="D33" i="1"/>
  <c r="D32" i="1"/>
  <c r="D42" i="1"/>
  <c r="D41" i="1"/>
  <c r="D40" i="1"/>
  <c r="D39" i="1"/>
  <c r="D38" i="1"/>
  <c r="D55" i="1"/>
  <c r="D13" i="1"/>
  <c r="D53" i="1" l="1"/>
  <c r="D54" i="1" s="1"/>
  <c r="D56" i="1" s="1"/>
</calcChain>
</file>

<file path=xl/sharedStrings.xml><?xml version="1.0" encoding="utf-8"?>
<sst xmlns="http://schemas.openxmlformats.org/spreadsheetml/2006/main" count="77" uniqueCount="77">
  <si>
    <t>JOHN MARK AGUSTIN E. ACIDO
Gingoog City, Misamis Oriental, Philippines
94jmaea94@gmail.com</t>
  </si>
  <si>
    <t>INVOICE</t>
  </si>
  <si>
    <t>INVOICE #</t>
  </si>
  <si>
    <t>DATE</t>
  </si>
  <si>
    <t>BILL TO</t>
  </si>
  <si>
    <t>FOR / PROJECT</t>
  </si>
  <si>
    <t>Ford Seeman/Deshorn King</t>
  </si>
  <si>
    <t>Alchemy Dev</t>
  </si>
  <si>
    <t>New York, USA</t>
  </si>
  <si>
    <t>team@alchemydev.io</t>
  </si>
  <si>
    <t>DESCRIPTION</t>
  </si>
  <si>
    <t>QTY</t>
  </si>
  <si>
    <t>RATE (USD)</t>
  </si>
  <si>
    <t>AMOUNT (USD)</t>
  </si>
  <si>
    <t>SUBTOTAL</t>
  </si>
  <si>
    <t>TAX (%)</t>
  </si>
  <si>
    <t>DISCOUNT</t>
  </si>
  <si>
    <t>TOTAL DUE (USD)</t>
  </si>
  <si>
    <t>PAYMENT DETAILS</t>
  </si>
  <si>
    <t xml:space="preserve">Wise Payment Link : </t>
  </si>
  <si>
    <t>Bank / Platform:</t>
  </si>
  <si>
    <t>Wise Pilipinas Inc.</t>
  </si>
  <si>
    <t>Account Name:</t>
  </si>
  <si>
    <t>John Mark Agustin E. Acido</t>
  </si>
  <si>
    <t>Email:</t>
  </si>
  <si>
    <t>94jmaea94@gmail.com</t>
  </si>
  <si>
    <t>Account Link:</t>
  </si>
  <si>
    <t>Account Number:</t>
  </si>
  <si>
    <t xml:space="preserve">Bank code / BRSTN: </t>
  </si>
  <si>
    <t>N/A</t>
  </si>
  <si>
    <t>Reference / Note:</t>
  </si>
  <si>
    <t>822888404252081</t>
  </si>
  <si>
    <t>Invoice #003</t>
  </si>
  <si>
    <t>Native Ceuticals — Initial static product showcase implementation, June 29, 2026. Built the responsive showcase, integrated background and product assets, implemented interactive hotspots and focus states, inspected product placement, and committed and pushed the working foundation.</t>
  </si>
  <si>
    <t>Native Ceuticals — HTML and CSS structure refactor, June 29, 2026. Reorganized product assets, expanded the showcase presentation, extracted extensive inline styling into a dedicated stylesheet, corrected file references, and verified the resulting separation before committing the cleanup.</t>
  </si>
  <si>
    <t>Native Ceuticals — Alternative design versions and responsive product presentation, June 29, 2026. Created Versions 2–4 with independent HTML and CSS, added composite backgrounds and particle effects, evaluated layout alternatives, removed unnecessary rules, and refined responsive sizing with updated product cutouts.</t>
  </si>
  <si>
    <t>Native Ceuticals — Version 2 visual and accessibility enhancements, June 29, 2026. Refined typography, color variables, gradients, SVG effects, animated particles, product presentation, semantic structure, and responsive behavior; verified asset and stylesheet references before committing and pushing the revision.</t>
  </si>
  <si>
    <t>Native Ceuticals — Product-image sizing and stylesheet debugging, July 1, 2026. Iteratively corrected night and day product dimensions, updated stylesheet cache versions, removed an incompatible CSS property, and committed each verified adjustment.</t>
  </si>
  <si>
    <t>Native Ceuticals — Version 3 presentation and Version 2 interaction improvements, July 1, 2026. Built the Version 3 composite presentation, expanded interactive HTML and CSS, established a dedicated Version 2 improvement branch, and refined product controls and responsive content behavior.</t>
  </si>
  <si>
    <t>Native Ceuticals — Sunscreen asset cleanup and label correction, July 1, 2026. Inspected and cleaned sunscreen cutouts, corrected the product label to “THC FREE,” removed obsolete Version 2 markup and styles, and verified the replacement assets before committing and pushing.</t>
  </si>
  <si>
    <t>Native Ceuticals — Product cutout regeneration and optimization, July 1, 2026. Regenerated ten product images with cleaner transparent edges, checked consistency across primary and subject asset sets, reviewed visual alignment and file sizes, and committed the completed asset batch.</t>
  </si>
  <si>
    <t>Native Ceuticals — Version 2 interface and responsive polish, July 1, 2026. Added the product aura and formula index, strengthened particle effects, refined the information panel and navigation rail, corrected mobile overflow and typography behavior, and verified the responsive update.</t>
  </si>
  <si>
    <t>Native Ceuticals — Dynamic product information-panel implementation, July 1, 2026. Traced inconsistent placement to fixed CSS offsets, implemented viewport-aware positioning from measured product and stage bounds, added click activation, enlarged panel content, recalibrated desktop and mobile presentation, and reviewed the completed diff.</t>
  </si>
  <si>
    <t>Java Lava — Temporary Instagram integration suspension, July 1, 2026. Inspected the homepage copies; reversibly hid the Instagram embed and loader pending social-account access; reviewed the resulting diff and committed the scoped change.</t>
  </si>
  <si>
    <t>Java Lava — Concept A root-site promotion, July 1, 2026. Promoted Concept A into the root deployment structure; updated Apache and Vercel redirects; synchronized mirrored pages and assets; verified the new root routes locally.</t>
  </si>
  <si>
    <t>Java Lava — Deployment asset repair and canonical navigation, July 1, 2026. Traced preview CSS and JavaScript failures to malformed asset paths; rebuilt the affected directories and restored their files; implemented canonical public routes, iframe escape handling, clean path mappings, and canonical merch links; completed HTTP, syntax, and browser checks.</t>
  </si>
  <si>
    <t>Obsidian Quant — Repository setup and local runtime troubleshooting, July 1, 2026. Cloned and verified the repository, installed dependencies, traced the `main.tsx` 404 to incorrect Apache serving, launched the application through Vite, and confirmed successful HTTP responses.</t>
  </si>
  <si>
    <t>Obsidian Quant — Design-reference analysis and integration planning, July 1, 2026. Compared Arvin’s application with Kev’s reference project, clarified repository ownership and implementation direction, discarded the incorrect migration approach, and prepared the revised integration plan.</t>
  </si>
  <si>
    <t>Obsidian Quant — Initial visual-system and homepage integration, July 1, 2026. Created the feature branch, mapped reference sections to existing content, integrated the alpine background and Obsidian gem, rebuilt homepage sections, and verified desktop and mobile rendering through lint and production-build checks.</t>
  </si>
  <si>
    <t>Java Lava — Live-route verification and stakeholder reporting, July 1, 2026. Rechecked canonical production routes and prepared an accurate project update distinguishing completed routing changes from deployment status.</t>
  </si>
  <si>
    <t>Obsidian Quant — Scroll choreography and content-layer implementation, July 1, 2026. Implemented persistent gem movement, section transitions, responsive poses, floating and orbit effects, and reduced-motion behavior; corrected stacking contexts to keep animated visuals behind text, cards, navigation, and footer content.</t>
  </si>
  <si>
    <t>Obsidian Quant — Responsive animation refinement and regression testing, July 1, 2026. Refined section animation timing and gem positioning through browser reviews, corrected mobile overflow and visual overlap issues, and repeatedly ran lint and build checks after adjustments.</t>
  </si>
  <si>
    <t>Obsidian Quant — Three-dimensional gem prototype and scoped rollback, July 1, 2026. Built and evaluated a procedural Three.js gem with lighting and rotation, compared it against the approved artwork, reverted the experiment after identifying fidelity limitations, removed added dependencies, and verified the original animation remained intact.</t>
  </si>
  <si>
    <t>Obsidian Quant — Reference-parity animation and interface enhancements, July 1, 2026. Audited remaining design gaps and implemented cursor illumination, animated fog and stars, hero parallax, progress indicators, staggered reveals, truthful animated counters, quote animation, footer improvements, and accessibility-friendly motion fallbacks.</t>
  </si>
  <si>
    <t>Obsidian Quant — Landing-page restoration, layout debugging, and feature delivery, July 1, 2026. Restored the forge loader and landing background, traced and fixed an absolute-positioning regression that caused excessive hero spacing, finalized gem placement, reviewed the complete diff, ran lint and build checks, then committed and pushed the feature branch.</t>
  </si>
  <si>
    <t>Obsidian Quant — Production-readiness remediation and validation, July 1, 2026. Reviewed reported concerns against repository intent; corrected contact-form behavior, introduced validation and automated tests, lazy-loaded routes, optimized image assets, strengthened deployment host verification, resolved dependency advisories, and completed lint, test, build, audit, and diff checks.</t>
  </si>
  <si>
    <t>Obsidian Quant — Branch verification and pull-request preparation, July 1, 2026. Confirmed clean branches and pushed commits, created two stacked pull requests for focused review, requested reviewer attention, and prepared an accurate stakeholder update without overstating approval or deployment status.</t>
  </si>
  <si>
    <t>Java Lava — Production navigation transition debugging, July 2, 2026. Reproduced the production-only white flash; compared localhost and Wix-hosted behavior; traced the issue to the outer Wix canvas; implemented cinematic dark transitions across mirrored files; ran syntax and diff checks, committed and pushed the changes, and documented the required Wix adjustment.</t>
  </si>
  <si>
    <t>Native Ceuticals — Mobile and tablet responsiveness improvements, July 2, 2026. Tested affected viewport sizes, traced overflow and sizing defects, added safe-area and dynamic-height handling, improved horizontal snapping, constrained panel scrolling, and introduced tablet and narrow-phone breakpoints.</t>
  </si>
  <si>
    <t>Native Ceuticals — Mobile touch-interaction debugging, July 2, 2026. Investigated gesture conflicts, adjusted the product stage to support horizontal and vertical touch movement, retested scrolling and product activation, and committed and pushed the focused correction.</t>
  </si>
  <si>
    <t>Native Ceuticals — Transform-aware product scaling and animation correction, July 2, 2026. Reworked viewport calculations using computed transforms, dynamically scaled tall product cutouts into available space, protected information panels from the mobile instruction banner, removed conflicting offsets, and verified entrance behavior.</t>
  </si>
  <si>
    <t>Java Lava — Press-release integration and deployment verification, July 2, 2026. Reviewed the homepage and story CTAs; implemented new-tab handling for the updated press-release PDF across mirrored files; verified the document response and content type; reviewed, committed, and pushed the changes; confirmed successful preview deployment and production promotion.</t>
  </si>
  <si>
    <t>Native Ceuticals — THC-free hero asset preparation and final verification, July 2, 2026. Prepared the corrected showcase composition, checked product alignment and label accuracy, replaced the hero image reference, reviewed the final diff and branch state, and committed and pushed the validated asset.</t>
  </si>
  <si>
    <t>Java Lava — Responsive Story CTA spacing correction, July 2, 2026. Investigated missing spacing between the Story and Press Release actions; corrected the shared layout styles; traced and replaced an ineffective initial rule; enforced appropriate desktop and mobile gaps; reviewed mirrored changes and confirmed successful preview builds.</t>
  </si>
  <si>
    <t>June 29-July 4, 2026</t>
  </si>
  <si>
    <t>Work completed from June 29-July 4, 2026</t>
  </si>
  <si>
    <t>Native Ceuticals / Java Lava / Obsidian Quant / Hydro-boost</t>
  </si>
  <si>
    <t>Obsidian Quant — Motion asset production and hero integration, July 3, 2026. Sourced, edited, and exported the homepage and section MP4/WebM assets (brain wireframe, network waves, graph loops, gem spin, quant-engine frame, halo), integrated them into the Core Philosophy cards and hero visual system, and verified playback in the local build.</t>
  </si>
  <si>
    <t>Obsidian Quant — Scroll choreography and hero layout, July 3, 2026. Implemented bidirectional scroll sync for gem pose detection, rebuilt the hero with left-aligned copy, side dots, Market Intelligence ticker, reference-style scroll indicator, and tuned gem tilt/placement to avoid panel overlap.</t>
  </si>
  <si>
    <t>Hydro Boost — page build, JSON/MP4 assets, git setup</t>
  </si>
  <si>
    <t>Hydro Boost — athletic UX overhaul</t>
  </si>
  <si>
    <t>Obsidian Quant — Local runtime troubleshooting and cross-device QA, July 3, 2026. Resolved Vite dev-server access issues (localhost / 127.0.0.1), enabled host binding, and validated hero animations, video loops, and philosophy cards on desktop and mobile.</t>
  </si>
  <si>
    <t>Hydro Boost — ingredients &amp; lifestyle cards</t>
  </si>
  <si>
    <t>Hydro Boost — sport animation authoring &amp; QA</t>
  </si>
  <si>
    <t>Obsidian Quant — Feedback iterations, mobile polish, and PR delivery, July 4, 2026. Applied layout refinements from review, added mobile-only crop/mask rules to hide video watermarks, cherry-picked onto main with conflict resolution, pushed feat/hero-scroll-choreography, and opened PR #17.</t>
  </si>
  <si>
    <t>Hydro Boost — release polish, GitHub, Vercel</t>
  </si>
  <si>
    <t>https://wise.com/pay/r/g0Six7kBF-XVi-4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</si>
</sst>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quot;Hours&quot;"/>
  </numFmts>
  <fonts count="19">
    <font>
      <sz val="11"/>
      <color theme="1"/>
      <name val="Calibri"/>
      <scheme val="minor"/>
    </font>
    <font>
      <sz val="11"/>
      <color theme="1"/>
      <name val="Calibri"/>
    </font>
    <font>
      <b/>
      <sz val="13"/>
      <color rgb="FFFFFFFF"/>
      <name val="Arial"/>
    </font>
    <font>
      <sz val="11"/>
      <name val="Calibri"/>
    </font>
    <font>
      <b/>
      <sz val="26"/>
      <color rgb="FFFFFFFF"/>
      <name val="Arial"/>
    </font>
    <font>
      <b/>
      <sz val="9"/>
      <color rgb="FFFFFFFF"/>
      <name val="Arial"/>
    </font>
    <font>
      <sz val="10"/>
      <color rgb="FF000000"/>
      <name val="Arial"/>
    </font>
    <font>
      <i/>
      <sz val="10"/>
      <color rgb="FF000000"/>
      <name val="Arial"/>
    </font>
    <font>
      <sz val="10"/>
      <color theme="1"/>
      <name val="Arial"/>
    </font>
    <font>
      <b/>
      <sz val="10"/>
      <color rgb="FFFFFFFF"/>
      <name val="Arial"/>
    </font>
    <font>
      <b/>
      <sz val="9"/>
      <color rgb="FF595959"/>
      <name val="Arial"/>
    </font>
    <font>
      <b/>
      <sz val="12"/>
      <color rgb="FFFFFFFF"/>
      <name val="Arial"/>
    </font>
    <font>
      <b/>
      <sz val="12"/>
      <color theme="1"/>
      <name val="Arial"/>
    </font>
    <font>
      <b/>
      <i/>
      <u/>
      <sz val="12"/>
      <color rgb="FF0000FF"/>
      <name val="Arial"/>
    </font>
    <font>
      <b/>
      <i/>
      <sz val="12"/>
      <color rgb="FF7F7F7F"/>
      <name val="Arial"/>
    </font>
    <font>
      <b/>
      <sz val="12"/>
      <color theme="1"/>
      <name val="Calibri"/>
      <scheme val="minor"/>
    </font>
    <font>
      <b/>
      <sz val="9"/>
      <color theme="1"/>
      <name val="Arial"/>
    </font>
    <font>
      <b/>
      <i/>
      <sz val="10"/>
      <color rgb="FF000000"/>
      <name val="Arial"/>
    </font>
    <font>
      <u/>
      <sz val="11"/>
      <color theme="10"/>
      <name val="Calibri"/>
      <scheme val="minor"/>
    </font>
  </fonts>
  <fills count="7">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
      <patternFill patternType="solid">
        <fgColor rgb="FFD6E4F0"/>
        <bgColor rgb="FFD6E4F0"/>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
      <left style="thin">
        <color rgb="FF2E75B6"/>
      </left>
      <right style="thin">
        <color rgb="FF2E75B6"/>
      </right>
      <top style="thin">
        <color rgb="FF2E75B6"/>
      </top>
      <bottom style="thin">
        <color rgb="FF2E75B6"/>
      </bottom>
      <diagonal/>
    </border>
    <border>
      <left style="medium">
        <color rgb="FF2E75B6"/>
      </left>
      <right style="medium">
        <color rgb="FF2E75B6"/>
      </right>
      <top style="medium">
        <color rgb="FF2E75B6"/>
      </top>
      <bottom style="medium">
        <color rgb="FF2E75B6"/>
      </bottom>
      <diagonal/>
    </border>
    <border>
      <left style="thin">
        <color rgb="FF1F3864"/>
      </left>
      <right style="thin">
        <color rgb="FF1F3864"/>
      </right>
      <top style="thin">
        <color rgb="FF1F3864"/>
      </top>
      <bottom style="thin">
        <color rgb="FF1F3864"/>
      </bottom>
      <diagonal/>
    </border>
    <border>
      <left style="thin">
        <color rgb="FF2E75B6"/>
      </left>
      <right/>
      <top style="thin">
        <color rgb="FF2E75B6"/>
      </top>
      <bottom style="thin">
        <color rgb="FF2E75B6"/>
      </bottom>
      <diagonal/>
    </border>
    <border>
      <left/>
      <right/>
      <top style="thin">
        <color rgb="FF2E75B6"/>
      </top>
      <bottom style="thin">
        <color rgb="FF2E75B6"/>
      </bottom>
      <diagonal/>
    </border>
    <border>
      <left/>
      <right/>
      <top style="thin">
        <color rgb="FF2E75B6"/>
      </top>
      <bottom style="thin">
        <color rgb="FF2E75B6"/>
      </bottom>
      <diagonal/>
    </border>
  </borders>
  <cellStyleXfs count="2">
    <xf numFmtId="0" fontId="0" fillId="0" borderId="0"/>
    <xf numFmtId="0" fontId="18" fillId="0" borderId="0" applyNumberFormat="0" applyFill="0" applyBorder="0" applyAlignment="0" applyProtection="0"/>
  </cellStyleXfs>
  <cellXfs count="53">
    <xf numFmtId="0" fontId="0" fillId="0" borderId="0" xfId="0"/>
    <xf numFmtId="0" fontId="5" fillId="3" borderId="10" xfId="0" applyFont="1" applyFill="1" applyBorder="1" applyAlignment="1">
      <alignment horizontal="center" vertical="center"/>
    </xf>
    <xf numFmtId="0" fontId="6" fillId="4" borderId="11" xfId="0" applyFont="1" applyFill="1" applyBorder="1" applyAlignment="1">
      <alignment horizontal="center" vertical="center"/>
    </xf>
    <xf numFmtId="0" fontId="7" fillId="4" borderId="11" xfId="0" applyFont="1" applyFill="1" applyBorder="1" applyAlignment="1">
      <alignment horizontal="center" vertical="center"/>
    </xf>
    <xf numFmtId="0" fontId="5" fillId="2" borderId="10" xfId="0" applyFont="1" applyFill="1" applyBorder="1" applyAlignment="1">
      <alignment horizontal="center" vertical="center"/>
    </xf>
    <xf numFmtId="2" fontId="8" fillId="6" borderId="16" xfId="0" applyNumberFormat="1" applyFont="1" applyFill="1" applyBorder="1" applyAlignment="1">
      <alignment horizontal="center" vertical="center"/>
    </xf>
    <xf numFmtId="0" fontId="1" fillId="4" borderId="11" xfId="0" applyFont="1" applyFill="1" applyBorder="1"/>
    <xf numFmtId="4" fontId="8" fillId="6" borderId="16" xfId="0" applyNumberFormat="1" applyFont="1" applyFill="1" applyBorder="1" applyAlignment="1">
      <alignment horizontal="center" vertical="center"/>
    </xf>
    <xf numFmtId="0" fontId="12" fillId="4" borderId="0" xfId="0" applyFont="1" applyFill="1" applyAlignment="1">
      <alignment horizontal="left" vertical="center"/>
    </xf>
    <xf numFmtId="0" fontId="13" fillId="6" borderId="0" xfId="0" applyFont="1" applyFill="1" applyAlignment="1">
      <alignment horizontal="left" vertical="center"/>
    </xf>
    <xf numFmtId="0" fontId="14" fillId="6" borderId="0" xfId="0" applyFont="1" applyFill="1" applyAlignment="1">
      <alignment horizontal="left" vertical="center"/>
    </xf>
    <xf numFmtId="0" fontId="15" fillId="0" borderId="0" xfId="0" applyFont="1"/>
    <xf numFmtId="0" fontId="8" fillId="4" borderId="12" xfId="0" applyFont="1" applyFill="1" applyBorder="1" applyAlignment="1">
      <alignment horizontal="left" vertical="center" wrapText="1"/>
    </xf>
    <xf numFmtId="0" fontId="8" fillId="5" borderId="12" xfId="0" applyFont="1" applyFill="1" applyBorder="1" applyAlignment="1">
      <alignment horizontal="left" vertical="center" wrapText="1"/>
    </xf>
    <xf numFmtId="0" fontId="5" fillId="2" borderId="7" xfId="0" applyFont="1" applyFill="1" applyBorder="1" applyAlignment="1">
      <alignment horizontal="left" vertical="center"/>
    </xf>
    <xf numFmtId="0" fontId="10" fillId="4" borderId="12" xfId="0" applyFont="1" applyFill="1" applyBorder="1" applyAlignment="1">
      <alignment horizontal="right" vertical="center"/>
    </xf>
    <xf numFmtId="0" fontId="16" fillId="4" borderId="12" xfId="0" applyFont="1" applyFill="1" applyBorder="1" applyAlignment="1">
      <alignment horizontal="left" vertical="center"/>
    </xf>
    <xf numFmtId="165" fontId="8" fillId="5" borderId="11" xfId="0" applyNumberFormat="1" applyFont="1" applyFill="1" applyBorder="1" applyAlignment="1">
      <alignment horizontal="center" vertical="center"/>
    </xf>
    <xf numFmtId="165" fontId="8" fillId="4" borderId="11" xfId="0" applyNumberFormat="1" applyFont="1" applyFill="1" applyBorder="1" applyAlignment="1">
      <alignment horizontal="center" vertical="center"/>
    </xf>
    <xf numFmtId="4" fontId="8" fillId="5" borderId="11" xfId="0" applyNumberFormat="1" applyFont="1" applyFill="1" applyBorder="1" applyAlignment="1">
      <alignment horizontal="center" vertical="center"/>
    </xf>
    <xf numFmtId="4" fontId="8" fillId="4" borderId="11" xfId="0" applyNumberFormat="1" applyFont="1" applyFill="1" applyBorder="1" applyAlignment="1">
      <alignment horizontal="center" vertical="center"/>
    </xf>
    <xf numFmtId="4" fontId="9" fillId="3" borderId="15" xfId="0" applyNumberFormat="1" applyFont="1" applyFill="1" applyBorder="1" applyAlignment="1">
      <alignment horizontal="center" vertical="center"/>
    </xf>
    <xf numFmtId="164" fontId="11" fillId="2" borderId="17" xfId="0" applyNumberFormat="1" applyFont="1" applyFill="1" applyBorder="1" applyAlignment="1">
      <alignment horizontal="center" vertical="center"/>
    </xf>
    <xf numFmtId="0" fontId="1" fillId="0" borderId="0" xfId="0" applyFont="1"/>
    <xf numFmtId="0" fontId="0" fillId="0" borderId="0" xfId="0"/>
    <xf numFmtId="0" fontId="2" fillId="2" borderId="1" xfId="0" applyFont="1" applyFill="1" applyBorder="1" applyAlignment="1">
      <alignment horizontal="left" vertic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2" borderId="1" xfId="0" applyFont="1" applyFill="1" applyBorder="1" applyAlignment="1">
      <alignment horizontal="right" vertical="center"/>
    </xf>
    <xf numFmtId="0" fontId="1" fillId="3" borderId="7" xfId="0" applyFont="1" applyFill="1" applyBorder="1"/>
    <xf numFmtId="0" fontId="3" fillId="0" borderId="9" xfId="0" applyFont="1" applyBorder="1"/>
    <xf numFmtId="0" fontId="1" fillId="4" borderId="7" xfId="0" applyFont="1" applyFill="1" applyBorder="1"/>
    <xf numFmtId="0" fontId="5" fillId="3" borderId="1" xfId="0" applyFont="1" applyFill="1" applyBorder="1" applyAlignment="1">
      <alignment horizontal="left" vertical="center"/>
    </xf>
    <xf numFmtId="0" fontId="5" fillId="3" borderId="7" xfId="0" applyFont="1" applyFill="1" applyBorder="1" applyAlignment="1">
      <alignment horizontal="left" vertical="center"/>
    </xf>
    <xf numFmtId="0" fontId="7" fillId="4" borderId="12" xfId="0" applyFont="1" applyFill="1" applyBorder="1" applyAlignment="1">
      <alignment horizontal="left" vertical="center"/>
    </xf>
    <xf numFmtId="0" fontId="3" fillId="0" borderId="14" xfId="0" applyFont="1" applyBorder="1"/>
    <xf numFmtId="0" fontId="7" fillId="4" borderId="13" xfId="0" applyFont="1" applyFill="1" applyBorder="1" applyAlignment="1">
      <alignment horizontal="left" vertical="center"/>
    </xf>
    <xf numFmtId="0" fontId="8" fillId="4" borderId="13" xfId="0" applyFont="1" applyFill="1" applyBorder="1" applyAlignment="1">
      <alignment horizontal="left" vertical="center"/>
    </xf>
    <xf numFmtId="0" fontId="8" fillId="4" borderId="12" xfId="0" applyFont="1" applyFill="1" applyBorder="1" applyAlignment="1">
      <alignment horizontal="left" vertical="center"/>
    </xf>
    <xf numFmtId="0" fontId="9" fillId="3" borderId="7" xfId="0" applyFont="1" applyFill="1" applyBorder="1" applyAlignment="1">
      <alignment horizontal="right" vertical="center"/>
    </xf>
    <xf numFmtId="0" fontId="3" fillId="0" borderId="8" xfId="0" applyFont="1" applyBorder="1"/>
    <xf numFmtId="0" fontId="11" fillId="2" borderId="7" xfId="0" applyFont="1" applyFill="1" applyBorder="1" applyAlignment="1">
      <alignment horizontal="right" vertical="center"/>
    </xf>
    <xf numFmtId="0" fontId="7" fillId="6" borderId="18" xfId="0" applyFont="1" applyFill="1" applyBorder="1" applyAlignment="1">
      <alignment horizontal="left" vertical="center"/>
    </xf>
    <xf numFmtId="0" fontId="3" fillId="0" borderId="19" xfId="0" applyFont="1" applyBorder="1"/>
    <xf numFmtId="0" fontId="3" fillId="0" borderId="20" xfId="0" applyFont="1" applyBorder="1"/>
    <xf numFmtId="0" fontId="18" fillId="6" borderId="18" xfId="1" applyFill="1" applyBorder="1" applyAlignment="1">
      <alignment horizontal="left" vertical="center"/>
    </xf>
    <xf numFmtId="0" fontId="7" fillId="6" borderId="18" xfId="0" quotePrefix="1" applyFont="1" applyFill="1" applyBorder="1" applyAlignment="1">
      <alignment horizontal="left" vertical="center"/>
    </xf>
    <xf numFmtId="0" fontId="17" fillId="6" borderId="18" xfId="0" applyFont="1" applyFill="1" applyBorder="1" applyAlignment="1">
      <alignment horizontal="left" vertical="center"/>
    </xf>
    <xf numFmtId="0" fontId="7" fillId="4" borderId="13" xfId="0" applyFont="1" applyFill="1" applyBorder="1" applyAlignment="1">
      <alignment horizontal="left" vertical="center" wrapText="1"/>
    </xf>
    <xf numFmtId="0" fontId="3" fillId="0" borderId="14"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ise.com/pay/r/g0Six7kBF-XVi-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016"/>
  <sheetViews>
    <sheetView showGridLines="0" tabSelected="1" view="pageBreakPreview" topLeftCell="A63" zoomScaleNormal="100" zoomScaleSheetLayoutView="100" workbookViewId="0">
      <selection activeCell="H81" sqref="H81"/>
    </sheetView>
  </sheetViews>
  <sheetFormatPr defaultColWidth="14.42578125" defaultRowHeight="15" customHeight="1"/>
  <cols>
    <col min="1" max="1" width="46.42578125" customWidth="1"/>
    <col min="2" max="3" width="14" customWidth="1"/>
    <col min="4" max="4" width="30.5703125" customWidth="1"/>
    <col min="5" max="25" width="8.7109375" customWidth="1"/>
  </cols>
  <sheetData>
    <row r="1" spans="1:11" ht="13.5" customHeight="1">
      <c r="A1" s="23"/>
      <c r="B1" s="24"/>
      <c r="C1" s="24"/>
      <c r="D1" s="24"/>
      <c r="K1">
        <f>38.43+7.29</f>
        <v>45.72</v>
      </c>
    </row>
    <row r="2" spans="1:11" ht="36" customHeight="1">
      <c r="A2" s="25" t="s">
        <v>0</v>
      </c>
      <c r="B2" s="26"/>
      <c r="C2" s="31" t="s">
        <v>1</v>
      </c>
      <c r="D2" s="26"/>
    </row>
    <row r="3" spans="1:11" ht="18" customHeight="1">
      <c r="A3" s="27"/>
      <c r="B3" s="28"/>
      <c r="C3" s="27"/>
      <c r="D3" s="28"/>
    </row>
    <row r="4" spans="1:11" ht="18" customHeight="1">
      <c r="A4" s="29"/>
      <c r="B4" s="30"/>
      <c r="C4" s="29"/>
      <c r="D4" s="30"/>
    </row>
    <row r="5" spans="1:11" ht="18" customHeight="1">
      <c r="A5" s="32"/>
      <c r="B5" s="33"/>
      <c r="C5" s="1" t="s">
        <v>2</v>
      </c>
      <c r="D5" s="1" t="s">
        <v>3</v>
      </c>
    </row>
    <row r="6" spans="1:11" ht="18" customHeight="1">
      <c r="A6" s="34"/>
      <c r="B6" s="33"/>
      <c r="C6" s="2">
        <v>3</v>
      </c>
      <c r="D6" s="3" t="s">
        <v>64</v>
      </c>
    </row>
    <row r="7" spans="1:11" ht="21.75" customHeight="1">
      <c r="A7" s="35" t="s">
        <v>4</v>
      </c>
      <c r="B7" s="26"/>
      <c r="C7" s="36" t="s">
        <v>5</v>
      </c>
      <c r="D7" s="33"/>
    </row>
    <row r="8" spans="1:11" ht="28.5" customHeight="1">
      <c r="A8" s="37" t="s">
        <v>6</v>
      </c>
      <c r="B8" s="38"/>
      <c r="C8" s="51" t="s">
        <v>66</v>
      </c>
      <c r="D8" s="52"/>
    </row>
    <row r="9" spans="1:11" ht="18" customHeight="1">
      <c r="A9" s="37" t="s">
        <v>7</v>
      </c>
      <c r="B9" s="38"/>
      <c r="C9" s="39" t="s">
        <v>65</v>
      </c>
      <c r="D9" s="38"/>
    </row>
    <row r="10" spans="1:11" ht="18" customHeight="1">
      <c r="A10" s="37" t="s">
        <v>8</v>
      </c>
      <c r="B10" s="38"/>
      <c r="C10" s="40"/>
      <c r="D10" s="38"/>
    </row>
    <row r="11" spans="1:11" ht="18" customHeight="1">
      <c r="A11" s="37" t="s">
        <v>9</v>
      </c>
      <c r="B11" s="38"/>
      <c r="C11" s="41"/>
      <c r="D11" s="38"/>
    </row>
    <row r="12" spans="1:11" ht="18" customHeight="1">
      <c r="A12" s="14" t="s">
        <v>10</v>
      </c>
      <c r="B12" s="4" t="s">
        <v>11</v>
      </c>
      <c r="C12" s="4" t="s">
        <v>12</v>
      </c>
      <c r="D12" s="4" t="s">
        <v>13</v>
      </c>
    </row>
    <row r="13" spans="1:11" ht="76.5">
      <c r="A13" s="13" t="s">
        <v>33</v>
      </c>
      <c r="B13" s="17">
        <v>2.58</v>
      </c>
      <c r="C13" s="19">
        <v>8</v>
      </c>
      <c r="D13" s="19">
        <f>B13*C13</f>
        <v>20.64</v>
      </c>
    </row>
    <row r="14" spans="1:11" ht="76.5">
      <c r="A14" s="12" t="s">
        <v>34</v>
      </c>
      <c r="B14" s="18">
        <v>1.63</v>
      </c>
      <c r="C14" s="20">
        <v>8</v>
      </c>
      <c r="D14" s="19">
        <f t="shared" ref="D14:D31" si="0">B14*C14</f>
        <v>13.04</v>
      </c>
    </row>
    <row r="15" spans="1:11" ht="89.25">
      <c r="A15" s="13" t="s">
        <v>35</v>
      </c>
      <c r="B15" s="17">
        <v>2.9</v>
      </c>
      <c r="C15" s="19">
        <v>8</v>
      </c>
      <c r="D15" s="19">
        <f t="shared" ref="D15:D20" si="1">B15*C15</f>
        <v>23.2</v>
      </c>
    </row>
    <row r="16" spans="1:11" ht="89.25">
      <c r="A16" s="12" t="s">
        <v>36</v>
      </c>
      <c r="B16" s="18">
        <v>1.73</v>
      </c>
      <c r="C16" s="20">
        <v>8</v>
      </c>
      <c r="D16" s="19">
        <f t="shared" si="1"/>
        <v>13.84</v>
      </c>
    </row>
    <row r="17" spans="1:4" ht="76.5">
      <c r="A17" s="13" t="s">
        <v>37</v>
      </c>
      <c r="B17" s="17">
        <v>0.9</v>
      </c>
      <c r="C17" s="19">
        <v>8</v>
      </c>
      <c r="D17" s="19">
        <f t="shared" si="1"/>
        <v>7.2</v>
      </c>
    </row>
    <row r="18" spans="1:4" ht="76.5">
      <c r="A18" s="12" t="s">
        <v>38</v>
      </c>
      <c r="B18" s="18">
        <v>1.38</v>
      </c>
      <c r="C18" s="20">
        <v>8</v>
      </c>
      <c r="D18" s="19">
        <f t="shared" si="1"/>
        <v>11.04</v>
      </c>
    </row>
    <row r="19" spans="1:4" ht="76.5">
      <c r="A19" s="13" t="s">
        <v>39</v>
      </c>
      <c r="B19" s="17">
        <v>1.22</v>
      </c>
      <c r="C19" s="19">
        <v>8</v>
      </c>
      <c r="D19" s="19">
        <f t="shared" si="1"/>
        <v>9.76</v>
      </c>
    </row>
    <row r="20" spans="1:4" ht="76.5">
      <c r="A20" s="12" t="s">
        <v>40</v>
      </c>
      <c r="B20" s="18">
        <v>2.0499999999999998</v>
      </c>
      <c r="C20" s="20">
        <v>8</v>
      </c>
      <c r="D20" s="19">
        <f t="shared" si="1"/>
        <v>16.399999999999999</v>
      </c>
    </row>
    <row r="21" spans="1:4" ht="76.5">
      <c r="A21" s="13" t="s">
        <v>41</v>
      </c>
      <c r="B21" s="17">
        <v>0.63</v>
      </c>
      <c r="C21" s="19">
        <v>8</v>
      </c>
      <c r="D21" s="19">
        <f t="shared" si="0"/>
        <v>5.04</v>
      </c>
    </row>
    <row r="22" spans="1:4" ht="102">
      <c r="A22" s="12" t="s">
        <v>42</v>
      </c>
      <c r="B22" s="18">
        <v>2.08</v>
      </c>
      <c r="C22" s="20">
        <v>8</v>
      </c>
      <c r="D22" s="19">
        <f t="shared" si="0"/>
        <v>16.64</v>
      </c>
    </row>
    <row r="23" spans="1:4" ht="63.75">
      <c r="A23" s="13" t="s">
        <v>43</v>
      </c>
      <c r="B23" s="17">
        <v>0.17</v>
      </c>
      <c r="C23" s="19">
        <v>8</v>
      </c>
      <c r="D23" s="19">
        <f t="shared" si="0"/>
        <v>1.36</v>
      </c>
    </row>
    <row r="24" spans="1:4" ht="63.75">
      <c r="A24" s="12" t="s">
        <v>44</v>
      </c>
      <c r="B24" s="18">
        <v>0.25</v>
      </c>
      <c r="C24" s="20">
        <v>8</v>
      </c>
      <c r="D24" s="19">
        <f t="shared" si="0"/>
        <v>2</v>
      </c>
    </row>
    <row r="25" spans="1:4" ht="89.25">
      <c r="A25" s="13" t="s">
        <v>45</v>
      </c>
      <c r="B25" s="17">
        <v>0.5</v>
      </c>
      <c r="C25" s="19">
        <v>8</v>
      </c>
      <c r="D25" s="19">
        <f t="shared" si="0"/>
        <v>4</v>
      </c>
    </row>
    <row r="26" spans="1:4" ht="76.5">
      <c r="A26" s="12" t="s">
        <v>46</v>
      </c>
      <c r="B26" s="18">
        <v>0.18</v>
      </c>
      <c r="C26" s="20">
        <v>8</v>
      </c>
      <c r="D26" s="19">
        <f t="shared" si="0"/>
        <v>1.44</v>
      </c>
    </row>
    <row r="27" spans="1:4" ht="76.5">
      <c r="A27" s="13" t="s">
        <v>47</v>
      </c>
      <c r="B27" s="17">
        <v>0.2</v>
      </c>
      <c r="C27" s="19">
        <v>8</v>
      </c>
      <c r="D27" s="19">
        <f t="shared" si="0"/>
        <v>1.6</v>
      </c>
    </row>
    <row r="28" spans="1:4" ht="89.25">
      <c r="A28" s="12" t="s">
        <v>48</v>
      </c>
      <c r="B28" s="18">
        <v>0.63</v>
      </c>
      <c r="C28" s="20">
        <v>8</v>
      </c>
      <c r="D28" s="19">
        <f t="shared" si="0"/>
        <v>5.04</v>
      </c>
    </row>
    <row r="29" spans="1:4" ht="63.75">
      <c r="A29" s="13" t="s">
        <v>49</v>
      </c>
      <c r="B29" s="17">
        <v>0.15</v>
      </c>
      <c r="C29" s="19">
        <v>8</v>
      </c>
      <c r="D29" s="19">
        <f t="shared" si="0"/>
        <v>1.2</v>
      </c>
    </row>
    <row r="30" spans="1:4" ht="89.25">
      <c r="A30" s="12" t="s">
        <v>50</v>
      </c>
      <c r="B30" s="18">
        <v>0.78</v>
      </c>
      <c r="C30" s="20">
        <v>8</v>
      </c>
      <c r="D30" s="19">
        <f t="shared" si="0"/>
        <v>6.24</v>
      </c>
    </row>
    <row r="31" spans="1:4" ht="76.5">
      <c r="A31" s="13" t="s">
        <v>51</v>
      </c>
      <c r="B31" s="17">
        <v>0.82</v>
      </c>
      <c r="C31" s="19">
        <v>8</v>
      </c>
      <c r="D31" s="19">
        <f t="shared" si="0"/>
        <v>6.56</v>
      </c>
    </row>
    <row r="32" spans="1:4" ht="89.25">
      <c r="A32" s="12" t="s">
        <v>52</v>
      </c>
      <c r="B32" s="18">
        <v>0.23</v>
      </c>
      <c r="C32" s="20">
        <v>8</v>
      </c>
      <c r="D32" s="19">
        <f t="shared" ref="D32:D37" si="2">B32*C32</f>
        <v>1.84</v>
      </c>
    </row>
    <row r="33" spans="1:4" ht="102">
      <c r="A33" s="13" t="s">
        <v>53</v>
      </c>
      <c r="B33" s="17">
        <v>0.52</v>
      </c>
      <c r="C33" s="19">
        <v>8</v>
      </c>
      <c r="D33" s="19">
        <f t="shared" si="2"/>
        <v>4.16</v>
      </c>
    </row>
    <row r="34" spans="1:4" ht="102">
      <c r="A34" s="12" t="s">
        <v>54</v>
      </c>
      <c r="B34" s="18">
        <v>0.18</v>
      </c>
      <c r="C34" s="20">
        <v>8</v>
      </c>
      <c r="D34" s="19">
        <f t="shared" si="2"/>
        <v>1.44</v>
      </c>
    </row>
    <row r="35" spans="1:4" ht="102">
      <c r="A35" s="13" t="s">
        <v>55</v>
      </c>
      <c r="B35" s="17">
        <v>0.22</v>
      </c>
      <c r="C35" s="19">
        <v>8</v>
      </c>
      <c r="D35" s="19">
        <f t="shared" si="2"/>
        <v>1.76</v>
      </c>
    </row>
    <row r="36" spans="1:4" ht="89.25">
      <c r="A36" s="12" t="s">
        <v>56</v>
      </c>
      <c r="B36" s="18">
        <v>0.1</v>
      </c>
      <c r="C36" s="20">
        <v>8</v>
      </c>
      <c r="D36" s="19">
        <f t="shared" si="2"/>
        <v>0.8</v>
      </c>
    </row>
    <row r="37" spans="1:4" ht="102">
      <c r="A37" s="13" t="s">
        <v>57</v>
      </c>
      <c r="B37" s="17">
        <v>0.47</v>
      </c>
      <c r="C37" s="19">
        <v>8</v>
      </c>
      <c r="D37" s="19">
        <f t="shared" si="2"/>
        <v>3.76</v>
      </c>
    </row>
    <row r="38" spans="1:4" ht="76.5">
      <c r="A38" s="12" t="s">
        <v>58</v>
      </c>
      <c r="B38" s="18">
        <v>1.65</v>
      </c>
      <c r="C38" s="20">
        <v>8</v>
      </c>
      <c r="D38" s="19">
        <f t="shared" ref="D38:D42" si="3">B38*C38</f>
        <v>13.2</v>
      </c>
    </row>
    <row r="39" spans="1:4" ht="76.5">
      <c r="A39" s="13" t="s">
        <v>59</v>
      </c>
      <c r="B39" s="17">
        <v>1.1499999999999999</v>
      </c>
      <c r="C39" s="19">
        <v>8</v>
      </c>
      <c r="D39" s="19">
        <f t="shared" si="3"/>
        <v>9.1999999999999993</v>
      </c>
    </row>
    <row r="40" spans="1:4" ht="89.25">
      <c r="A40" s="12" t="s">
        <v>60</v>
      </c>
      <c r="B40" s="18">
        <v>0.7</v>
      </c>
      <c r="C40" s="20">
        <v>8</v>
      </c>
      <c r="D40" s="19">
        <f t="shared" si="3"/>
        <v>5.6</v>
      </c>
    </row>
    <row r="41" spans="1:4" ht="102">
      <c r="A41" s="13" t="s">
        <v>61</v>
      </c>
      <c r="B41" s="17">
        <v>0.8</v>
      </c>
      <c r="C41" s="19">
        <v>8</v>
      </c>
      <c r="D41" s="19">
        <f t="shared" si="3"/>
        <v>6.4</v>
      </c>
    </row>
    <row r="42" spans="1:4" ht="89.25">
      <c r="A42" s="12" t="s">
        <v>62</v>
      </c>
      <c r="B42" s="18">
        <v>2.12</v>
      </c>
      <c r="C42" s="20">
        <v>8</v>
      </c>
      <c r="D42" s="19">
        <f t="shared" si="3"/>
        <v>16.96</v>
      </c>
    </row>
    <row r="43" spans="1:4" ht="102">
      <c r="A43" s="13" t="s">
        <v>63</v>
      </c>
      <c r="B43" s="17">
        <v>0.6</v>
      </c>
      <c r="C43" s="19">
        <v>8</v>
      </c>
      <c r="D43" s="19">
        <f t="shared" ref="D43:D48" si="4">B43*C43</f>
        <v>4.8</v>
      </c>
    </row>
    <row r="44" spans="1:4" ht="89.25">
      <c r="A44" s="13" t="s">
        <v>67</v>
      </c>
      <c r="B44" s="17">
        <v>3.25</v>
      </c>
      <c r="C44" s="19">
        <v>8</v>
      </c>
      <c r="D44" s="19">
        <f t="shared" si="4"/>
        <v>26</v>
      </c>
    </row>
    <row r="45" spans="1:4" ht="76.5">
      <c r="A45" s="13" t="s">
        <v>68</v>
      </c>
      <c r="B45" s="17">
        <v>1.75</v>
      </c>
      <c r="C45" s="19">
        <v>8</v>
      </c>
      <c r="D45" s="19">
        <f t="shared" si="4"/>
        <v>14</v>
      </c>
    </row>
    <row r="46" spans="1:4" ht="25.5">
      <c r="A46" s="13" t="s">
        <v>69</v>
      </c>
      <c r="B46" s="17">
        <v>0.57999999999999996</v>
      </c>
      <c r="C46" s="19">
        <v>8</v>
      </c>
      <c r="D46" s="19">
        <f t="shared" si="4"/>
        <v>4.6399999999999997</v>
      </c>
    </row>
    <row r="47" spans="1:4">
      <c r="A47" s="13" t="s">
        <v>70</v>
      </c>
      <c r="B47" s="17">
        <v>0.43</v>
      </c>
      <c r="C47" s="19">
        <v>8</v>
      </c>
      <c r="D47" s="19">
        <f t="shared" si="4"/>
        <v>3.44</v>
      </c>
    </row>
    <row r="48" spans="1:4">
      <c r="A48" s="13" t="s">
        <v>72</v>
      </c>
      <c r="B48" s="17">
        <v>0.6</v>
      </c>
      <c r="C48" s="19">
        <v>8</v>
      </c>
      <c r="D48" s="19">
        <f t="shared" si="4"/>
        <v>4.8</v>
      </c>
    </row>
    <row r="49" spans="1:25" ht="63.75">
      <c r="A49" s="13" t="s">
        <v>71</v>
      </c>
      <c r="B49" s="17">
        <v>1.5</v>
      </c>
      <c r="C49" s="19">
        <v>8</v>
      </c>
      <c r="D49" s="19">
        <f t="shared" ref="D49:D52" si="5">B49*C49</f>
        <v>12</v>
      </c>
    </row>
    <row r="50" spans="1:25">
      <c r="A50" s="13" t="s">
        <v>73</v>
      </c>
      <c r="B50" s="17">
        <v>0.95</v>
      </c>
      <c r="C50" s="19">
        <v>8</v>
      </c>
      <c r="D50" s="19">
        <f t="shared" si="5"/>
        <v>7.6</v>
      </c>
    </row>
    <row r="51" spans="1:25" ht="76.5">
      <c r="A51" s="13" t="s">
        <v>74</v>
      </c>
      <c r="B51" s="17">
        <v>1.37</v>
      </c>
      <c r="C51" s="19">
        <v>8</v>
      </c>
      <c r="D51" s="19">
        <f t="shared" si="5"/>
        <v>10.96</v>
      </c>
    </row>
    <row r="52" spans="1:25">
      <c r="A52" s="13" t="s">
        <v>75</v>
      </c>
      <c r="B52" s="17">
        <v>0.25</v>
      </c>
      <c r="C52" s="19">
        <v>8</v>
      </c>
      <c r="D52" s="19">
        <f t="shared" si="5"/>
        <v>2</v>
      </c>
    </row>
    <row r="53" spans="1:25" ht="18" customHeight="1">
      <c r="A53" s="42" t="s">
        <v>14</v>
      </c>
      <c r="B53" s="43"/>
      <c r="C53" s="33"/>
      <c r="D53" s="21">
        <f>SUM(D13:D52)</f>
        <v>321.59999999999997</v>
      </c>
    </row>
    <row r="54" spans="1:25" ht="21.75" customHeight="1">
      <c r="A54" s="15" t="s">
        <v>15</v>
      </c>
      <c r="B54" s="5">
        <v>0</v>
      </c>
      <c r="C54" s="6"/>
      <c r="D54" s="20">
        <f>D53*B54/100</f>
        <v>0</v>
      </c>
    </row>
    <row r="55" spans="1:25" ht="18" customHeight="1">
      <c r="A55" s="15" t="s">
        <v>16</v>
      </c>
      <c r="C55" s="7">
        <v>0</v>
      </c>
      <c r="D55" s="20">
        <f>-C55</f>
        <v>0</v>
      </c>
    </row>
    <row r="56" spans="1:25" ht="25.5" customHeight="1">
      <c r="A56" s="44" t="s">
        <v>17</v>
      </c>
      <c r="B56" s="43"/>
      <c r="C56" s="33"/>
      <c r="D56" s="22">
        <f>D53+D54+D55</f>
        <v>321.59999999999997</v>
      </c>
    </row>
    <row r="57" spans="1:25" ht="18" customHeight="1"/>
    <row r="58" spans="1:25" ht="18" customHeight="1">
      <c r="A58" s="36" t="s">
        <v>18</v>
      </c>
      <c r="B58" s="43"/>
      <c r="C58" s="43"/>
      <c r="D58" s="33"/>
    </row>
    <row r="59" spans="1:25" ht="19.5" customHeight="1">
      <c r="A59" s="8" t="s">
        <v>19</v>
      </c>
      <c r="B59" s="9"/>
      <c r="C59" s="10"/>
      <c r="D59" s="10"/>
      <c r="E59" s="11"/>
      <c r="F59" s="11"/>
      <c r="G59" s="11"/>
      <c r="H59" s="11"/>
      <c r="I59" s="11"/>
      <c r="J59" s="11"/>
      <c r="K59" s="11"/>
      <c r="L59" s="11"/>
      <c r="M59" s="11"/>
      <c r="N59" s="11"/>
      <c r="O59" s="11"/>
      <c r="P59" s="11"/>
      <c r="Q59" s="11"/>
      <c r="R59" s="11"/>
      <c r="S59" s="11"/>
      <c r="T59" s="11"/>
      <c r="U59" s="11"/>
      <c r="V59" s="11"/>
      <c r="W59" s="11"/>
      <c r="X59" s="11"/>
      <c r="Y59" s="11"/>
    </row>
    <row r="61" spans="1:25" ht="19.5" customHeight="1">
      <c r="A61" s="16" t="s">
        <v>20</v>
      </c>
      <c r="B61" s="45" t="s">
        <v>21</v>
      </c>
      <c r="C61" s="46"/>
      <c r="D61" s="47"/>
    </row>
    <row r="62" spans="1:25" ht="19.5" customHeight="1">
      <c r="A62" s="16" t="s">
        <v>22</v>
      </c>
      <c r="B62" s="45" t="s">
        <v>23</v>
      </c>
      <c r="C62" s="46"/>
      <c r="D62" s="47"/>
    </row>
    <row r="63" spans="1:25" ht="19.5" customHeight="1">
      <c r="A63" s="16" t="s">
        <v>24</v>
      </c>
      <c r="B63" s="45" t="s">
        <v>25</v>
      </c>
      <c r="C63" s="46"/>
      <c r="D63" s="47"/>
    </row>
    <row r="64" spans="1:25" ht="19.5" customHeight="1">
      <c r="A64" s="16" t="s">
        <v>26</v>
      </c>
      <c r="B64" s="48" t="s">
        <v>76</v>
      </c>
      <c r="C64" s="46"/>
      <c r="D64" s="47"/>
    </row>
    <row r="65" spans="1:4" ht="19.5" customHeight="1">
      <c r="A65" s="16" t="s">
        <v>27</v>
      </c>
      <c r="B65" s="49" t="s">
        <v>31</v>
      </c>
      <c r="C65" s="46"/>
      <c r="D65" s="47"/>
    </row>
    <row r="66" spans="1:4" ht="19.5" customHeight="1">
      <c r="A66" s="16" t="s">
        <v>28</v>
      </c>
      <c r="B66" s="45" t="s">
        <v>29</v>
      </c>
      <c r="C66" s="46"/>
      <c r="D66" s="47"/>
    </row>
    <row r="67" spans="1:4" ht="19.5" customHeight="1">
      <c r="A67" s="16" t="s">
        <v>30</v>
      </c>
      <c r="B67" s="50" t="s">
        <v>32</v>
      </c>
      <c r="C67" s="46"/>
      <c r="D67" s="47"/>
    </row>
    <row r="68" spans="1:4" ht="15.75" customHeight="1"/>
    <row r="69" spans="1:4" ht="15.75" customHeight="1"/>
    <row r="70" spans="1:4" ht="15.75" customHeight="1"/>
    <row r="71" spans="1:4" ht="15.75" customHeight="1"/>
    <row r="72" spans="1:4" ht="15.75" customHeight="1"/>
    <row r="73" spans="1:4" ht="15.75" customHeight="1"/>
    <row r="74" spans="1:4" ht="15.75" customHeight="1"/>
    <row r="75" spans="1:4" ht="15.75" customHeight="1"/>
    <row r="76" spans="1:4" ht="15.75" customHeight="1"/>
    <row r="77" spans="1:4" ht="15.75" customHeight="1"/>
    <row r="78" spans="1:4" ht="15.75" customHeight="1"/>
    <row r="79" spans="1:4" ht="15.75" customHeight="1"/>
    <row r="80" spans="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mergeCells count="25">
    <mergeCell ref="B64:D64"/>
    <mergeCell ref="B65:D65"/>
    <mergeCell ref="B66:D66"/>
    <mergeCell ref="B67:D67"/>
    <mergeCell ref="A56:C56"/>
    <mergeCell ref="A58:D58"/>
    <mergeCell ref="B61:D61"/>
    <mergeCell ref="B62:D62"/>
    <mergeCell ref="B63:D63"/>
    <mergeCell ref="A10:B10"/>
    <mergeCell ref="C10:D10"/>
    <mergeCell ref="C11:D11"/>
    <mergeCell ref="A53:C53"/>
    <mergeCell ref="A11:B11"/>
    <mergeCell ref="A7:B7"/>
    <mergeCell ref="C7:D7"/>
    <mergeCell ref="A8:B8"/>
    <mergeCell ref="C8:D8"/>
    <mergeCell ref="A9:B9"/>
    <mergeCell ref="C9:D9"/>
    <mergeCell ref="A1:D1"/>
    <mergeCell ref="A2:B4"/>
    <mergeCell ref="C2:D4"/>
    <mergeCell ref="A5:B5"/>
    <mergeCell ref="A6:B6"/>
  </mergeCells>
  <hyperlinks>
    <hyperlink ref="B64" r:id="rId1" xr:uid="{00000000-0004-0000-0000-000000000000}"/>
  </hyperlinks>
  <pageMargins left="0.7" right="0.7" top="0.75" bottom="0.75" header="0.3" footer="0.3"/>
  <pageSetup paperSize="9" scale="83" fitToHeight="0" orientation="portrait" r:id="rId2"/>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Invoice 002</vt:lpstr>
      <vt:lpstr>'Invoice 002'!Print_Area</vt:lpstr>
      <vt:lpstr>'Invoice 002'!Print_Titles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Mark Agustin E. Acido</dc:creator>
  <cp:lastModifiedBy>John Mark Agustin Acido</cp:lastModifiedBy>
  <cp:lastPrinted>2026-07-03T17:54:23Z</cp:lastPrinted>
  <dcterms:modified xsi:type="dcterms:W3CDTF">2026-07-03T17:59:20Z</dcterms:modified>
</cp:coreProperties>
</file>